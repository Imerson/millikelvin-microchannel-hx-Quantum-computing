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https://d.docs.live.net/0067d99ebd031323/Documents/Education Hub/15-Energy Systems/4-Year 3/4-Dissertation/2-Model/3-4K Heat exchanger/Final models/Sinter_vs_Microchannel_Comparison/"/>
    </mc:Choice>
  </mc:AlternateContent>
  <xr:revisionPtr revIDLastSave="6" documentId="11_D3916BB396D0669FE0D58B1713789D847B9F8B47" xr6:coauthVersionLast="47" xr6:coauthVersionMax="47" xr10:uidLastSave="{60F9DF80-63FB-AF49-A2C3-A78C81982D15}"/>
  <bookViews>
    <workbookView xWindow="0" yWindow="0" windowWidth="51200" windowHeight="28800" tabRatio="500" activeTab="4" xr2:uid="{00000000-000D-0000-FFFF-FFFF00000000}"/>
  </bookViews>
  <sheets>
    <sheet name="Inputs" sheetId="1" r:id="rId1"/>
    <sheet name="Microchannel" sheetId="2" r:id="rId2"/>
    <sheet name="Sinter" sheetId="3" r:id="rId3"/>
    <sheet name="Comparison" sheetId="4" r:id="rId4"/>
    <sheet name="Chart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4" l="1"/>
  <c r="D5" i="4"/>
  <c r="D4" i="4"/>
  <c r="F7" i="3"/>
  <c r="F6" i="3"/>
  <c r="F5" i="3"/>
  <c r="F4" i="3"/>
  <c r="G9" i="2"/>
  <c r="H9" i="2" s="1"/>
  <c r="G8" i="2"/>
  <c r="H8" i="2" s="1"/>
  <c r="I8" i="2" s="1"/>
  <c r="G7" i="2"/>
  <c r="H7" i="2" s="1"/>
  <c r="G6" i="2"/>
  <c r="H6" i="2" s="1"/>
  <c r="I6" i="2" s="1"/>
  <c r="G5" i="2"/>
  <c r="H5" i="2" s="1"/>
  <c r="I5" i="2" s="1"/>
  <c r="G4" i="2"/>
  <c r="H4" i="2" s="1"/>
  <c r="B19" i="1"/>
  <c r="B20" i="1" s="1"/>
  <c r="B18" i="1"/>
  <c r="B13" i="1"/>
  <c r="B14" i="1" s="1"/>
  <c r="B6" i="1"/>
  <c r="B4" i="4" l="1"/>
  <c r="I7" i="2"/>
  <c r="B6" i="4"/>
  <c r="I9" i="2"/>
  <c r="B21" i="1"/>
  <c r="B22" i="1"/>
  <c r="B15" i="1"/>
  <c r="D5" i="3"/>
  <c r="G5" i="3" s="1"/>
  <c r="D6" i="3"/>
  <c r="G6" i="3" s="1"/>
  <c r="D7" i="3"/>
  <c r="D4" i="3"/>
  <c r="G4" i="3" s="1"/>
  <c r="G7" i="3"/>
  <c r="H7" i="3" s="1"/>
  <c r="B5" i="4"/>
  <c r="I4" i="2"/>
  <c r="B8" i="4" l="1"/>
  <c r="H5" i="3"/>
  <c r="H6" i="3"/>
  <c r="B9" i="4"/>
  <c r="H4" i="3"/>
  <c r="B7" i="4"/>
  <c r="J9" i="2"/>
  <c r="E6" i="4" s="1"/>
  <c r="J7" i="2"/>
  <c r="E4" i="4" s="1"/>
  <c r="J5" i="2"/>
  <c r="K5" i="2" s="1"/>
  <c r="J8" i="2"/>
  <c r="K8" i="2" s="1"/>
  <c r="J6" i="2"/>
  <c r="K6" i="2" s="1"/>
  <c r="J4" i="2"/>
  <c r="E5" i="4" s="1"/>
  <c r="E5" i="3"/>
  <c r="E6" i="3"/>
  <c r="E7" i="3"/>
  <c r="I7" i="3" s="1"/>
  <c r="J7" i="3" s="1"/>
  <c r="E4" i="3"/>
  <c r="K9" i="2"/>
  <c r="F6" i="4" s="1"/>
  <c r="C6" i="4"/>
  <c r="C5" i="4"/>
  <c r="K4" i="2"/>
  <c r="F5" i="4" s="1"/>
  <c r="C4" i="4"/>
  <c r="C7" i="4" l="1"/>
  <c r="D7" i="4"/>
  <c r="I4" i="3"/>
  <c r="E7" i="4" s="1"/>
  <c r="D9" i="4"/>
  <c r="I6" i="3"/>
  <c r="E9" i="4" s="1"/>
  <c r="I5" i="3"/>
  <c r="E8" i="4" s="1"/>
  <c r="D8" i="4"/>
  <c r="J5" i="3"/>
  <c r="F8" i="4" s="1"/>
  <c r="C8" i="4"/>
  <c r="C9" i="4"/>
  <c r="K7" i="2"/>
  <c r="J6" i="3" l="1"/>
  <c r="F9" i="4" s="1"/>
  <c r="F4" i="4"/>
  <c r="J4" i="3"/>
  <c r="F7" i="4" s="1"/>
  <c r="F11" i="4" l="1"/>
</calcChain>
</file>

<file path=xl/sharedStrings.xml><?xml version="1.0" encoding="utf-8"?>
<sst xmlns="http://schemas.openxmlformats.org/spreadsheetml/2006/main" count="103" uniqueCount="77">
  <si>
    <t>Sinter vs Microchannel — inputs and derived quantities</t>
  </si>
  <si>
    <t>Block length L (m)</t>
  </si>
  <si>
    <t>geometry, normalised block</t>
  </si>
  <si>
    <t>Block width W (m)</t>
  </si>
  <si>
    <t>Block height H (m)</t>
  </si>
  <si>
    <t>Face area A_face (m^2)</t>
  </si>
  <si>
    <t>W*H</t>
  </si>
  <si>
    <t>He-4 viscosity mu (Pa.s)</t>
  </si>
  <si>
    <t>He-II normal-fluid value (Pobell 2007)</t>
  </si>
  <si>
    <t>He-4 density rho (kg/m^3)</t>
  </si>
  <si>
    <t>Donnelly &amp; Barenghi 1998</t>
  </si>
  <si>
    <t>Interface temperature T_ref (K)</t>
  </si>
  <si>
    <t>CFD conjugate interface temperature</t>
  </si>
  <si>
    <t>Kapitza coeff C_K Cu (K^4 m^2/W)</t>
  </si>
  <si>
    <t>Pollack 1969</t>
  </si>
  <si>
    <t>Kapitza coeff C_K Ag (K^4 m^2/W)</t>
  </si>
  <si>
    <t>Dransfeld &amp; Salzmann 1967</t>
  </si>
  <si>
    <t>Microchannel velocity U_ch (m/s)</t>
  </si>
  <si>
    <t>per-channel inlet velocity (CFD)</t>
  </si>
  <si>
    <t>Channel open-area fraction</t>
  </si>
  <si>
    <t>pitch = 1.5 Dh</t>
  </si>
  <si>
    <t>Superficial velocity Us (m/s)</t>
  </si>
  <si>
    <t>open_fraction * U_ch (common basis)</t>
  </si>
  <si>
    <t>Volumetric flow Vdot (m^3/s)</t>
  </si>
  <si>
    <t>Us * A_face (same for all geometries)</t>
  </si>
  <si>
    <t>Sinter particle dp (m)</t>
  </si>
  <si>
    <t>Nakagawa 2023 (0.07 um silver powder)</t>
  </si>
  <si>
    <t>Sinter porosity eps</t>
  </si>
  <si>
    <t>standard pressed Ag sinter (Pobell 2007); paper does not state</t>
  </si>
  <si>
    <t>Permeability k (m^2)</t>
  </si>
  <si>
    <t>Kozeny-Carman</t>
  </si>
  <si>
    <t>Specific area a_v (m^2/m^3)</t>
  </si>
  <si>
    <t>packed spheres</t>
  </si>
  <si>
    <t>Idealised sinter area (m^2)</t>
  </si>
  <si>
    <t>a_v * V_block (full microscopic area)</t>
  </si>
  <si>
    <t>Sinter Darcy dP (Pa)</t>
  </si>
  <si>
    <t>mu*Us*L/k</t>
  </si>
  <si>
    <t>Pore Reynolds Re_pore</t>
  </si>
  <si>
    <t>&lt;&lt;1 =&gt; Darcy valid, Ergun term negligible</t>
  </si>
  <si>
    <t>Blue = input ; black = formula.</t>
  </si>
  <si>
    <t>Microchannel cases (Delta P from converged CFD)</t>
  </si>
  <si>
    <t>Case</t>
  </si>
  <si>
    <t>Material</t>
  </si>
  <si>
    <t>Dh (mm)</t>
  </si>
  <si>
    <t>N_ch</t>
  </si>
  <si>
    <t>A_wet (m^2)</t>
  </si>
  <si>
    <t>dP CFD (Pa)</t>
  </si>
  <si>
    <t>C_K</t>
  </si>
  <si>
    <t>R_total (K/W)</t>
  </si>
  <si>
    <t>G (W/K)</t>
  </si>
  <si>
    <t>W_pump (W)</t>
  </si>
  <si>
    <t>FOM (1/K)</t>
  </si>
  <si>
    <t>Cu_0p5</t>
  </si>
  <si>
    <t>Cu</t>
  </si>
  <si>
    <t>Cu_1p0</t>
  </si>
  <si>
    <t>Cu_2p0</t>
  </si>
  <si>
    <t>Ag_0p5</t>
  </si>
  <si>
    <t>Ag</t>
  </si>
  <si>
    <t>Ag_1p0</t>
  </si>
  <si>
    <t>Ag_2p0</t>
  </si>
  <si>
    <t>Sinter cases (Darcy + Kozeny-Carman; area = packed-sphere)</t>
  </si>
  <si>
    <t>Area basis</t>
  </si>
  <si>
    <t>dP (Pa)</t>
  </si>
  <si>
    <t>Sinter Ag (idealised)</t>
  </si>
  <si>
    <t>full microscopic</t>
  </si>
  <si>
    <t>Sinter Cu (idealised)</t>
  </si>
  <si>
    <t>Sinter Ag (He-4 effective)</t>
  </si>
  <si>
    <t>geometric x0.001</t>
  </si>
  <si>
    <t>Sinter Cu (He-4 effective)</t>
  </si>
  <si>
    <t>He-4 effective row applies Nakagawa 2023: only the geometrical (not microscopic) area is thermally effective for superfluid He-4; the 0.001 factor is illustrative — the conclusion holds for any factor &lt;1.</t>
  </si>
  <si>
    <t>Comparison — figure of merit = thermal conductance / pumping power</t>
  </si>
  <si>
    <t>Geometry / case</t>
  </si>
  <si>
    <t>Microchannel Ag, 0.5 mm</t>
  </si>
  <si>
    <t>Microchannel Cu, 0.5 mm</t>
  </si>
  <si>
    <t>Microchannel Ag, 2.0 mm</t>
  </si>
  <si>
    <t>Headline FOM ratio (microchannel Ag 0.5 mm / idealised Ag sinter):</t>
  </si>
  <si>
    <t>Notes: (1) compared on a normalised 40x40x100 mm block, same He-4 coolant, same superficial velocity. (2) The FOM ratio is independent of velocity and temperature (both scale identically). (3) Sinter wins raw conductance; microchannel wins conductance-per-pumping by ~4 orders because open channels have negligible flow resistance while fine sinter pores impose ~MPa Darcy pressure drop. (4) For He-4 the sinter effective area is far below its microscopic area (Nakagawa 2023), widening the gap.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</si>
</sst>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E+00"/>
  </numFmts>
  <fonts count="9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i/>
      <sz val="9"/>
      <color rgb="FF555555"/>
      <name val="Arial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sz val="11"/>
      <color rgb="FF008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164" fontId="2" fillId="0" borderId="0" xfId="0" applyNumberFormat="1" applyFont="1"/>
    <xf numFmtId="165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wrapText="1"/>
    </xf>
    <xf numFmtId="0" fontId="0" fillId="0" borderId="1" xfId="0" applyBorder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4" fontId="0" fillId="0" borderId="1" xfId="0" applyNumberFormat="1" applyBorder="1"/>
    <xf numFmtId="165" fontId="2" fillId="0" borderId="1" xfId="0" applyNumberFormat="1" applyFont="1" applyBorder="1"/>
    <xf numFmtId="165" fontId="0" fillId="0" borderId="1" xfId="0" applyNumberFormat="1" applyBorder="1"/>
    <xf numFmtId="165" fontId="7" fillId="0" borderId="1" xfId="0" applyNumberFormat="1" applyFont="1" applyBorder="1"/>
    <xf numFmtId="1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584640</xdr:colOff>
      <xdr:row>23</xdr:row>
      <xdr:rowOff>98640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8534160" cy="4480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13</xdr:col>
      <xdr:colOff>584640</xdr:colOff>
      <xdr:row>46</xdr:row>
      <xdr:rowOff>98640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4381560"/>
          <a:ext cx="8534160" cy="4480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88900</xdr:colOff>
      <xdr:row>0</xdr:row>
      <xdr:rowOff>0</xdr:rowOff>
    </xdr:from>
    <xdr:to>
      <xdr:col>30</xdr:col>
      <xdr:colOff>13140</xdr:colOff>
      <xdr:row>23</xdr:row>
      <xdr:rowOff>98640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0655300" y="0"/>
          <a:ext cx="9169840" cy="44801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88900</xdr:colOff>
      <xdr:row>25</xdr:row>
      <xdr:rowOff>25400</xdr:rowOff>
    </xdr:from>
    <xdr:to>
      <xdr:col>30</xdr:col>
      <xdr:colOff>13140</xdr:colOff>
      <xdr:row>48</xdr:row>
      <xdr:rowOff>124040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0655300" y="4787900"/>
          <a:ext cx="9169840" cy="44801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368300</xdr:colOff>
      <xdr:row>48</xdr:row>
      <xdr:rowOff>177800</xdr:rowOff>
    </xdr:from>
    <xdr:to>
      <xdr:col>13</xdr:col>
      <xdr:colOff>419420</xdr:colOff>
      <xdr:row>72</xdr:row>
      <xdr:rowOff>85940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368300" y="9321800"/>
          <a:ext cx="8636320" cy="44801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Normal="100" workbookViewId="0"/>
  </sheetViews>
  <sheetFormatPr baseColWidth="10" defaultColWidth="8.6640625" defaultRowHeight="15" x14ac:dyDescent="0.2"/>
  <cols>
    <col min="1" max="1" width="34" customWidth="1"/>
    <col min="2" max="2" width="16" customWidth="1"/>
    <col min="3" max="3" width="48" customWidth="1"/>
  </cols>
  <sheetData>
    <row r="1" spans="1:3" ht="17" x14ac:dyDescent="0.2">
      <c r="A1" s="2" t="s">
        <v>0</v>
      </c>
    </row>
    <row r="3" spans="1:3" x14ac:dyDescent="0.2">
      <c r="A3" s="3" t="s">
        <v>1</v>
      </c>
      <c r="B3" s="4">
        <v>0.1</v>
      </c>
      <c r="C3" s="5" t="s">
        <v>2</v>
      </c>
    </row>
    <row r="4" spans="1:3" x14ac:dyDescent="0.2">
      <c r="A4" s="3" t="s">
        <v>3</v>
      </c>
      <c r="B4" s="4">
        <v>0.04</v>
      </c>
      <c r="C4" s="5"/>
    </row>
    <row r="5" spans="1:3" x14ac:dyDescent="0.2">
      <c r="A5" s="3" t="s">
        <v>4</v>
      </c>
      <c r="B5" s="4">
        <v>0.04</v>
      </c>
      <c r="C5" s="5"/>
    </row>
    <row r="6" spans="1:3" x14ac:dyDescent="0.2">
      <c r="A6" s="3" t="s">
        <v>5</v>
      </c>
      <c r="B6" s="6">
        <f>B4*B5</f>
        <v>1.6000000000000001E-3</v>
      </c>
      <c r="C6" s="5" t="s">
        <v>6</v>
      </c>
    </row>
    <row r="7" spans="1:3" x14ac:dyDescent="0.2">
      <c r="A7" s="3" t="s">
        <v>7</v>
      </c>
      <c r="B7" s="7">
        <v>9.9999999999999995E-7</v>
      </c>
      <c r="C7" s="5" t="s">
        <v>8</v>
      </c>
    </row>
    <row r="8" spans="1:3" x14ac:dyDescent="0.2">
      <c r="A8" s="3" t="s">
        <v>9</v>
      </c>
      <c r="B8" s="4">
        <v>145</v>
      </c>
      <c r="C8" s="5" t="s">
        <v>10</v>
      </c>
    </row>
    <row r="9" spans="1:3" x14ac:dyDescent="0.2">
      <c r="A9" s="3" t="s">
        <v>11</v>
      </c>
      <c r="B9" s="4">
        <v>2.5000000000000001E-2</v>
      </c>
      <c r="C9" s="5" t="s">
        <v>12</v>
      </c>
    </row>
    <row r="10" spans="1:3" x14ac:dyDescent="0.2">
      <c r="A10" s="3" t="s">
        <v>13</v>
      </c>
      <c r="B10" s="4">
        <v>0.02</v>
      </c>
      <c r="C10" s="5" t="s">
        <v>14</v>
      </c>
    </row>
    <row r="11" spans="1:3" x14ac:dyDescent="0.2">
      <c r="A11" s="3" t="s">
        <v>15</v>
      </c>
      <c r="B11" s="7">
        <v>5.0000000000000001E-3</v>
      </c>
      <c r="C11" s="5" t="s">
        <v>16</v>
      </c>
    </row>
    <row r="12" spans="1:3" x14ac:dyDescent="0.2">
      <c r="A12" s="3" t="s">
        <v>17</v>
      </c>
      <c r="B12" s="7">
        <v>1E-3</v>
      </c>
      <c r="C12" s="5" t="s">
        <v>18</v>
      </c>
    </row>
    <row r="13" spans="1:3" x14ac:dyDescent="0.2">
      <c r="A13" s="3" t="s">
        <v>19</v>
      </c>
      <c r="B13" s="6">
        <f>1/1.5^2</f>
        <v>0.44444444444444442</v>
      </c>
      <c r="C13" s="5" t="s">
        <v>20</v>
      </c>
    </row>
    <row r="14" spans="1:3" x14ac:dyDescent="0.2">
      <c r="A14" s="3" t="s">
        <v>21</v>
      </c>
      <c r="B14" s="6">
        <f>B13*B12</f>
        <v>4.4444444444444441E-4</v>
      </c>
      <c r="C14" s="5" t="s">
        <v>22</v>
      </c>
    </row>
    <row r="15" spans="1:3" x14ac:dyDescent="0.2">
      <c r="A15" s="3" t="s">
        <v>23</v>
      </c>
      <c r="B15" s="6">
        <f>B14*B6</f>
        <v>7.1111111111111106E-7</v>
      </c>
      <c r="C15" s="5" t="s">
        <v>24</v>
      </c>
    </row>
    <row r="16" spans="1:3" x14ac:dyDescent="0.2">
      <c r="A16" s="3" t="s">
        <v>25</v>
      </c>
      <c r="B16" s="7">
        <v>7.0000000000000005E-8</v>
      </c>
      <c r="C16" s="5" t="s">
        <v>26</v>
      </c>
    </row>
    <row r="17" spans="1:3" x14ac:dyDescent="0.2">
      <c r="A17" s="3" t="s">
        <v>27</v>
      </c>
      <c r="B17" s="4">
        <v>0.5</v>
      </c>
      <c r="C17" s="5" t="s">
        <v>28</v>
      </c>
    </row>
    <row r="18" spans="1:3" x14ac:dyDescent="0.2">
      <c r="A18" s="3" t="s">
        <v>29</v>
      </c>
      <c r="B18" s="6">
        <f>B17^3*B16^2/(180*(1-B17)^2)</f>
        <v>1.3611111111111113E-17</v>
      </c>
      <c r="C18" s="5" t="s">
        <v>30</v>
      </c>
    </row>
    <row r="19" spans="1:3" x14ac:dyDescent="0.2">
      <c r="A19" s="3" t="s">
        <v>31</v>
      </c>
      <c r="B19" s="6">
        <f>6*(1-B17)/B16</f>
        <v>42857142.857142851</v>
      </c>
      <c r="C19" s="5" t="s">
        <v>32</v>
      </c>
    </row>
    <row r="20" spans="1:3" x14ac:dyDescent="0.2">
      <c r="A20" s="3" t="s">
        <v>33</v>
      </c>
      <c r="B20" s="6">
        <f>B19*B6*B3</f>
        <v>6857.1428571428569</v>
      </c>
      <c r="C20" s="5" t="s">
        <v>34</v>
      </c>
    </row>
    <row r="21" spans="1:3" x14ac:dyDescent="0.2">
      <c r="A21" s="3" t="s">
        <v>35</v>
      </c>
      <c r="B21" s="6">
        <f>B7*B14*B3/B18</f>
        <v>3265306.1224489785</v>
      </c>
      <c r="C21" s="5" t="s">
        <v>36</v>
      </c>
    </row>
    <row r="22" spans="1:3" x14ac:dyDescent="0.2">
      <c r="A22" s="3" t="s">
        <v>37</v>
      </c>
      <c r="B22" s="6">
        <f>B8*B14*B16/B7</f>
        <v>4.5111111111111116E-3</v>
      </c>
      <c r="C22" s="5" t="s">
        <v>38</v>
      </c>
    </row>
    <row r="24" spans="1:3" x14ac:dyDescent="0.2">
      <c r="A24" s="5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zoomScaleNormal="100" workbookViewId="0"/>
  </sheetViews>
  <sheetFormatPr baseColWidth="10" defaultColWidth="8.6640625" defaultRowHeight="15" x14ac:dyDescent="0.2"/>
  <cols>
    <col min="1" max="1" width="10" customWidth="1"/>
    <col min="2" max="2" width="9" customWidth="1"/>
    <col min="3" max="4" width="8" customWidth="1"/>
    <col min="5" max="6" width="12" customWidth="1"/>
    <col min="7" max="7" width="9" customWidth="1"/>
    <col min="8" max="8" width="13" customWidth="1"/>
    <col min="9" max="11" width="12" customWidth="1"/>
  </cols>
  <sheetData>
    <row r="1" spans="1:11" ht="16" x14ac:dyDescent="0.2">
      <c r="A1" s="8" t="s">
        <v>40</v>
      </c>
    </row>
    <row r="3" spans="1:11" ht="31" x14ac:dyDescent="0.2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49</v>
      </c>
      <c r="J3" s="9" t="s">
        <v>50</v>
      </c>
      <c r="K3" s="9" t="s">
        <v>51</v>
      </c>
    </row>
    <row r="4" spans="1:11" x14ac:dyDescent="0.2">
      <c r="A4" s="10" t="s">
        <v>52</v>
      </c>
      <c r="B4" s="10" t="s">
        <v>53</v>
      </c>
      <c r="C4" s="11">
        <v>0.5</v>
      </c>
      <c r="D4" s="11">
        <v>2809</v>
      </c>
      <c r="E4" s="12">
        <v>0.56179999999999997</v>
      </c>
      <c r="F4" s="13">
        <v>1.137E-2</v>
      </c>
      <c r="G4" s="14">
        <f>IF(B4="Cu",Inputs!$B$10,Inputs!$B$11)</f>
        <v>0.02</v>
      </c>
      <c r="H4" s="15">
        <f>G4/(Inputs!$B$9^3*E4)</f>
        <v>2278.3908864364539</v>
      </c>
      <c r="I4" s="15">
        <f t="shared" ref="I4:I9" si="0">1/H4</f>
        <v>4.3890625000000006E-4</v>
      </c>
      <c r="J4" s="15">
        <f>F4*Inputs!$B$15</f>
        <v>8.0853333333333319E-9</v>
      </c>
      <c r="K4" s="15">
        <f t="shared" ref="K4:K9" si="1">I4/J4</f>
        <v>54284.249257915588</v>
      </c>
    </row>
    <row r="5" spans="1:11" x14ac:dyDescent="0.2">
      <c r="A5" s="10" t="s">
        <v>54</v>
      </c>
      <c r="B5" s="10" t="s">
        <v>53</v>
      </c>
      <c r="C5" s="11">
        <v>1</v>
      </c>
      <c r="D5" s="11">
        <v>676</v>
      </c>
      <c r="E5" s="12">
        <v>0.27039999999999997</v>
      </c>
      <c r="F5" s="13">
        <v>2.9229999999999998E-3</v>
      </c>
      <c r="G5" s="14">
        <f>IF(B5="Cu",Inputs!$B$10,Inputs!$B$11)</f>
        <v>0.02</v>
      </c>
      <c r="H5" s="15">
        <f>G5/(Inputs!$B$9^3*E5)</f>
        <v>4733.7278106508875</v>
      </c>
      <c r="I5" s="15">
        <f t="shared" si="0"/>
        <v>2.1125000000000001E-4</v>
      </c>
      <c r="J5" s="15">
        <f>F5*Inputs!$B$15</f>
        <v>2.0785777777777773E-9</v>
      </c>
      <c r="K5" s="15">
        <f t="shared" si="1"/>
        <v>101631.99196031477</v>
      </c>
    </row>
    <row r="6" spans="1:11" x14ac:dyDescent="0.2">
      <c r="A6" s="10" t="s">
        <v>55</v>
      </c>
      <c r="B6" s="10" t="s">
        <v>53</v>
      </c>
      <c r="C6" s="11">
        <v>2</v>
      </c>
      <c r="D6" s="11">
        <v>169</v>
      </c>
      <c r="E6" s="12">
        <v>0.13519999999999999</v>
      </c>
      <c r="F6" s="13">
        <v>8.0780000000000001E-4</v>
      </c>
      <c r="G6" s="14">
        <f>IF(B6="Cu",Inputs!$B$10,Inputs!$B$11)</f>
        <v>0.02</v>
      </c>
      <c r="H6" s="15">
        <f>G6/(Inputs!$B$9^3*E6)</f>
        <v>9467.455621301775</v>
      </c>
      <c r="I6" s="15">
        <f t="shared" si="0"/>
        <v>1.0562500000000001E-4</v>
      </c>
      <c r="J6" s="15">
        <f>F6*Inputs!$B$15</f>
        <v>5.7443555555555547E-10</v>
      </c>
      <c r="K6" s="15">
        <f t="shared" si="1"/>
        <v>183876.15282248086</v>
      </c>
    </row>
    <row r="7" spans="1:11" x14ac:dyDescent="0.2">
      <c r="A7" s="10" t="s">
        <v>56</v>
      </c>
      <c r="B7" s="10" t="s">
        <v>57</v>
      </c>
      <c r="C7" s="11">
        <v>0.5</v>
      </c>
      <c r="D7" s="11">
        <v>2809</v>
      </c>
      <c r="E7" s="12">
        <v>0.56179999999999997</v>
      </c>
      <c r="F7" s="13">
        <v>1.137E-2</v>
      </c>
      <c r="G7" s="16">
        <f>IF(B7="Cu",Inputs!$B$10,Inputs!$B$11)</f>
        <v>5.0000000000000001E-3</v>
      </c>
      <c r="H7" s="15">
        <f>G7/(Inputs!$B$9^3*E7)</f>
        <v>569.59772160911348</v>
      </c>
      <c r="I7" s="15">
        <f t="shared" si="0"/>
        <v>1.7556250000000002E-3</v>
      </c>
      <c r="J7" s="15">
        <f>F7*Inputs!$B$15</f>
        <v>8.0853333333333319E-9</v>
      </c>
      <c r="K7" s="15">
        <f t="shared" si="1"/>
        <v>217136.99703166235</v>
      </c>
    </row>
    <row r="8" spans="1:11" x14ac:dyDescent="0.2">
      <c r="A8" s="10" t="s">
        <v>58</v>
      </c>
      <c r="B8" s="10" t="s">
        <v>57</v>
      </c>
      <c r="C8" s="11">
        <v>1</v>
      </c>
      <c r="D8" s="11">
        <v>676</v>
      </c>
      <c r="E8" s="12">
        <v>0.27039999999999997</v>
      </c>
      <c r="F8" s="13">
        <v>2.9229999999999998E-3</v>
      </c>
      <c r="G8" s="16">
        <f>IF(B8="Cu",Inputs!$B$10,Inputs!$B$11)</f>
        <v>5.0000000000000001E-3</v>
      </c>
      <c r="H8" s="15">
        <f>G8/(Inputs!$B$9^3*E8)</f>
        <v>1183.4319526627219</v>
      </c>
      <c r="I8" s="15">
        <f t="shared" si="0"/>
        <v>8.4500000000000005E-4</v>
      </c>
      <c r="J8" s="15">
        <f>F8*Inputs!$B$15</f>
        <v>2.0785777777777773E-9</v>
      </c>
      <c r="K8" s="15">
        <f t="shared" si="1"/>
        <v>406527.96784125909</v>
      </c>
    </row>
    <row r="9" spans="1:11" x14ac:dyDescent="0.2">
      <c r="A9" s="10" t="s">
        <v>59</v>
      </c>
      <c r="B9" s="10" t="s">
        <v>57</v>
      </c>
      <c r="C9" s="11">
        <v>2</v>
      </c>
      <c r="D9" s="11">
        <v>169</v>
      </c>
      <c r="E9" s="12">
        <v>0.13519999999999999</v>
      </c>
      <c r="F9" s="13">
        <v>8.0780000000000001E-4</v>
      </c>
      <c r="G9" s="16">
        <f>IF(B9="Cu",Inputs!$B$10,Inputs!$B$11)</f>
        <v>5.0000000000000001E-3</v>
      </c>
      <c r="H9" s="15">
        <f>G9/(Inputs!$B$9^3*E9)</f>
        <v>2366.8639053254437</v>
      </c>
      <c r="I9" s="15">
        <f t="shared" si="0"/>
        <v>4.2250000000000002E-4</v>
      </c>
      <c r="J9" s="15">
        <f>F9*Inputs!$B$15</f>
        <v>5.7443555555555547E-10</v>
      </c>
      <c r="K9" s="15">
        <f t="shared" si="1"/>
        <v>735504.61128992343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zoomScaleNormal="100" workbookViewId="0">
      <selection activeCell="D34" sqref="D34"/>
    </sheetView>
  </sheetViews>
  <sheetFormatPr baseColWidth="10" defaultColWidth="8.6640625" defaultRowHeight="15" x14ac:dyDescent="0.2"/>
  <cols>
    <col min="1" max="1" width="26" customWidth="1"/>
    <col min="2" max="2" width="9" customWidth="1"/>
    <col min="3" max="3" width="16" customWidth="1"/>
    <col min="4" max="5" width="12" customWidth="1"/>
    <col min="6" max="6" width="9" customWidth="1"/>
    <col min="7" max="7" width="13" customWidth="1"/>
    <col min="8" max="10" width="12" customWidth="1"/>
  </cols>
  <sheetData>
    <row r="1" spans="1:10" ht="16" x14ac:dyDescent="0.2">
      <c r="A1" s="8" t="s">
        <v>60</v>
      </c>
    </row>
    <row r="3" spans="1:10" ht="31" x14ac:dyDescent="0.2">
      <c r="A3" s="9" t="s">
        <v>41</v>
      </c>
      <c r="B3" s="9" t="s">
        <v>42</v>
      </c>
      <c r="C3" s="9" t="s">
        <v>61</v>
      </c>
      <c r="D3" s="9" t="s">
        <v>45</v>
      </c>
      <c r="E3" s="9" t="s">
        <v>62</v>
      </c>
      <c r="F3" s="9" t="s">
        <v>47</v>
      </c>
      <c r="G3" s="9" t="s">
        <v>48</v>
      </c>
      <c r="H3" s="9" t="s">
        <v>49</v>
      </c>
      <c r="I3" s="9" t="s">
        <v>50</v>
      </c>
      <c r="J3" s="9" t="s">
        <v>51</v>
      </c>
    </row>
    <row r="4" spans="1:10" x14ac:dyDescent="0.2">
      <c r="A4" s="10" t="s">
        <v>63</v>
      </c>
      <c r="B4" s="10" t="s">
        <v>57</v>
      </c>
      <c r="C4" s="10" t="s">
        <v>64</v>
      </c>
      <c r="D4" s="15">
        <f>Inputs!$B$20</f>
        <v>6857.1428571428569</v>
      </c>
      <c r="E4" s="15">
        <f>Inputs!$B$21</f>
        <v>3265306.1224489785</v>
      </c>
      <c r="F4" s="16">
        <f>IF(B4="Cu",Inputs!$B$10,Inputs!$B$11)</f>
        <v>5.0000000000000001E-3</v>
      </c>
      <c r="G4" s="15">
        <f>F4/(Inputs!$B$9^3*D4)</f>
        <v>4.6666666666666655E-2</v>
      </c>
      <c r="H4" s="15">
        <f>1/G4</f>
        <v>21.428571428571434</v>
      </c>
      <c r="I4" s="15">
        <f>E4*Inputs!$B$15</f>
        <v>2.3219954648526069</v>
      </c>
      <c r="J4" s="15">
        <f>H4/I4</f>
        <v>9.2285156250000053</v>
      </c>
    </row>
    <row r="5" spans="1:10" x14ac:dyDescent="0.2">
      <c r="A5" s="10" t="s">
        <v>65</v>
      </c>
      <c r="B5" s="10" t="s">
        <v>53</v>
      </c>
      <c r="C5" s="10" t="s">
        <v>64</v>
      </c>
      <c r="D5" s="15">
        <f>Inputs!$B$20</f>
        <v>6857.1428571428569</v>
      </c>
      <c r="E5" s="15">
        <f>Inputs!$B$21</f>
        <v>3265306.1224489785</v>
      </c>
      <c r="F5" s="14">
        <f>IF(B5="Cu",Inputs!$B$10,Inputs!$B$11)</f>
        <v>0.02</v>
      </c>
      <c r="G5" s="15">
        <f>F5/(Inputs!$B$9^3*D5)</f>
        <v>0.18666666666666662</v>
      </c>
      <c r="H5" s="15">
        <f>1/G5</f>
        <v>5.3571428571428585</v>
      </c>
      <c r="I5" s="15">
        <f>E5*Inputs!$B$15</f>
        <v>2.3219954648526069</v>
      </c>
      <c r="J5" s="15">
        <f>H5/I5</f>
        <v>2.3071289062500013</v>
      </c>
    </row>
    <row r="6" spans="1:10" x14ac:dyDescent="0.2">
      <c r="A6" s="10" t="s">
        <v>66</v>
      </c>
      <c r="B6" s="10" t="s">
        <v>57</v>
      </c>
      <c r="C6" s="10" t="s">
        <v>67</v>
      </c>
      <c r="D6" s="15">
        <f>Inputs!$B$20*0.001</f>
        <v>6.8571428571428568</v>
      </c>
      <c r="E6" s="15">
        <f>Inputs!$B$21</f>
        <v>3265306.1224489785</v>
      </c>
      <c r="F6" s="16">
        <f>IF(B6="Cu",Inputs!$B$10,Inputs!$B$11)</f>
        <v>5.0000000000000001E-3</v>
      </c>
      <c r="G6" s="15">
        <f>F6/(Inputs!$B$9^3*D6)</f>
        <v>46.666666666666657</v>
      </c>
      <c r="H6" s="15">
        <f>1/G6</f>
        <v>2.1428571428571432E-2</v>
      </c>
      <c r="I6" s="15">
        <f>E6*Inputs!$B$15</f>
        <v>2.3219954648526069</v>
      </c>
      <c r="J6" s="15">
        <f>H6/I6</f>
        <v>9.2285156250000045E-3</v>
      </c>
    </row>
    <row r="7" spans="1:10" x14ac:dyDescent="0.2">
      <c r="A7" s="10" t="s">
        <v>68</v>
      </c>
      <c r="B7" s="10" t="s">
        <v>53</v>
      </c>
      <c r="C7" s="10" t="s">
        <v>67</v>
      </c>
      <c r="D7" s="15">
        <f>Inputs!$B$20*0.001</f>
        <v>6.8571428571428568</v>
      </c>
      <c r="E7" s="15">
        <f>Inputs!$B$21</f>
        <v>3265306.1224489785</v>
      </c>
      <c r="F7" s="14">
        <f>IF(B7="Cu",Inputs!$B$10,Inputs!$B$11)</f>
        <v>0.02</v>
      </c>
      <c r="G7" s="15">
        <f>F7/(Inputs!$B$9^3*D7)</f>
        <v>186.66666666666663</v>
      </c>
      <c r="H7" s="15">
        <f>1/G7</f>
        <v>5.3571428571428581E-3</v>
      </c>
      <c r="I7" s="15">
        <f>E7*Inputs!$B$15</f>
        <v>2.3219954648526069</v>
      </c>
      <c r="J7" s="15">
        <f>H7/I7</f>
        <v>2.3071289062500011E-3</v>
      </c>
    </row>
    <row r="9" spans="1:10" x14ac:dyDescent="0.2">
      <c r="A9" s="5" t="s">
        <v>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Normal="100" workbookViewId="0"/>
  </sheetViews>
  <sheetFormatPr baseColWidth="10" defaultColWidth="8.6640625" defaultRowHeight="15" x14ac:dyDescent="0.2"/>
  <cols>
    <col min="1" max="1" width="30" customWidth="1"/>
    <col min="2" max="2" width="14" customWidth="1"/>
    <col min="3" max="5" width="12" customWidth="1"/>
    <col min="6" max="6" width="14" customWidth="1"/>
  </cols>
  <sheetData>
    <row r="1" spans="1:6" ht="16" x14ac:dyDescent="0.2">
      <c r="A1" s="8" t="s">
        <v>70</v>
      </c>
    </row>
    <row r="3" spans="1:6" ht="31" x14ac:dyDescent="0.2">
      <c r="A3" s="9" t="s">
        <v>71</v>
      </c>
      <c r="B3" s="9" t="s">
        <v>48</v>
      </c>
      <c r="C3" s="9" t="s">
        <v>49</v>
      </c>
      <c r="D3" s="9" t="s">
        <v>62</v>
      </c>
      <c r="E3" s="9" t="s">
        <v>50</v>
      </c>
      <c r="F3" s="9" t="s">
        <v>51</v>
      </c>
    </row>
    <row r="4" spans="1:6" x14ac:dyDescent="0.2">
      <c r="A4" s="10" t="s">
        <v>72</v>
      </c>
      <c r="B4" s="17">
        <f>Microchannel!H7</f>
        <v>569.59772160911348</v>
      </c>
      <c r="C4" s="17">
        <f>Microchannel!I7</f>
        <v>1.7556250000000002E-3</v>
      </c>
      <c r="D4" s="17">
        <f>Microchannel!F7</f>
        <v>1.137E-2</v>
      </c>
      <c r="E4" s="17">
        <f>Microchannel!J7</f>
        <v>8.0853333333333319E-9</v>
      </c>
      <c r="F4" s="17">
        <f>Microchannel!K7</f>
        <v>217136.99703166235</v>
      </c>
    </row>
    <row r="5" spans="1:6" x14ac:dyDescent="0.2">
      <c r="A5" s="10" t="s">
        <v>73</v>
      </c>
      <c r="B5" s="17">
        <f>Microchannel!H4</f>
        <v>2278.3908864364539</v>
      </c>
      <c r="C5" s="17">
        <f>Microchannel!I4</f>
        <v>4.3890625000000006E-4</v>
      </c>
      <c r="D5" s="17">
        <f>Microchannel!F4</f>
        <v>1.137E-2</v>
      </c>
      <c r="E5" s="17">
        <f>Microchannel!J4</f>
        <v>8.0853333333333319E-9</v>
      </c>
      <c r="F5" s="17">
        <f>Microchannel!K4</f>
        <v>54284.249257915588</v>
      </c>
    </row>
    <row r="6" spans="1:6" x14ac:dyDescent="0.2">
      <c r="A6" s="10" t="s">
        <v>74</v>
      </c>
      <c r="B6" s="17">
        <f>Microchannel!H9</f>
        <v>2366.8639053254437</v>
      </c>
      <c r="C6" s="17">
        <f>Microchannel!I9</f>
        <v>4.2250000000000002E-4</v>
      </c>
      <c r="D6" s="17">
        <f>Microchannel!F9</f>
        <v>8.0780000000000001E-4</v>
      </c>
      <c r="E6" s="17">
        <f>Microchannel!J9</f>
        <v>5.7443555555555547E-10</v>
      </c>
      <c r="F6" s="17">
        <f>Microchannel!K9</f>
        <v>735504.61128992343</v>
      </c>
    </row>
    <row r="7" spans="1:6" x14ac:dyDescent="0.2">
      <c r="A7" s="10" t="s">
        <v>63</v>
      </c>
      <c r="B7" s="17">
        <f>Sinter!G4</f>
        <v>4.6666666666666655E-2</v>
      </c>
      <c r="C7" s="17">
        <f>Sinter!H4</f>
        <v>21.428571428571434</v>
      </c>
      <c r="D7" s="17">
        <f>Sinter!E4</f>
        <v>3265306.1224489785</v>
      </c>
      <c r="E7" s="17">
        <f>Sinter!I4</f>
        <v>2.3219954648526069</v>
      </c>
      <c r="F7" s="17">
        <f>Sinter!J4</f>
        <v>9.2285156250000053</v>
      </c>
    </row>
    <row r="8" spans="1:6" x14ac:dyDescent="0.2">
      <c r="A8" s="10" t="s">
        <v>65</v>
      </c>
      <c r="B8" s="17">
        <f>Sinter!G5</f>
        <v>0.18666666666666662</v>
      </c>
      <c r="C8" s="17">
        <f>Sinter!H5</f>
        <v>5.3571428571428585</v>
      </c>
      <c r="D8" s="17">
        <f>Sinter!E5</f>
        <v>3265306.1224489785</v>
      </c>
      <c r="E8" s="17">
        <f>Sinter!I5</f>
        <v>2.3219954648526069</v>
      </c>
      <c r="F8" s="17">
        <f>Sinter!J5</f>
        <v>2.3071289062500013</v>
      </c>
    </row>
    <row r="9" spans="1:6" x14ac:dyDescent="0.2">
      <c r="A9" s="10" t="s">
        <v>66</v>
      </c>
      <c r="B9" s="17">
        <f>Sinter!G6</f>
        <v>46.666666666666657</v>
      </c>
      <c r="C9" s="17">
        <f>Sinter!H6</f>
        <v>2.1428571428571432E-2</v>
      </c>
      <c r="D9" s="17">
        <f>Sinter!E6</f>
        <v>3265306.1224489785</v>
      </c>
      <c r="E9" s="17">
        <f>Sinter!I6</f>
        <v>2.3219954648526069</v>
      </c>
      <c r="F9" s="17">
        <f>Sinter!J6</f>
        <v>9.2285156250000045E-3</v>
      </c>
    </row>
    <row r="11" spans="1:6" x14ac:dyDescent="0.2">
      <c r="A11" t="s">
        <v>75</v>
      </c>
      <c r="F11" s="18">
        <f>Microchannel!K7/Sinter!J4</f>
        <v>23528.919043430913</v>
      </c>
    </row>
    <row r="13" spans="1:6" ht="69.75" customHeight="1" x14ac:dyDescent="0.2">
      <c r="A13" s="1" t="s">
        <v>76</v>
      </c>
      <c r="B13" s="1"/>
      <c r="C13" s="1"/>
      <c r="D13" s="1"/>
      <c r="E13" s="1"/>
      <c r="F13" s="1"/>
    </row>
  </sheetData>
  <mergeCells count="1"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zoomScaleNormal="100" workbookViewId="0">
      <selection activeCell="S48" sqref="S47:S48"/>
    </sheetView>
  </sheetViews>
  <sheetFormatPr baseColWidth="10" defaultColWidth="8.6640625" defaultRowHeight="15" x14ac:dyDescent="0.2"/>
  <sheetData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Microchannel</vt:lpstr>
      <vt:lpstr>Sinter</vt:lpstr>
      <vt:lpstr>Comparison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Imerson Joao</cp:lastModifiedBy>
  <cp:revision>0</cp:revision>
  <dcterms:created xsi:type="dcterms:W3CDTF">2026-06-28T16:24:58Z</dcterms:created>
  <dcterms:modified xsi:type="dcterms:W3CDTF">2026-08-03T13:57:37Z</dcterms:modified>
  <dc:language>en-US</dc:language>
</cp:coreProperties>
</file>